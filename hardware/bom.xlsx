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585"/>
  </bookViews>
  <sheets>
    <sheet name="Halo Schematic (Bill Of Materia" sheetId="1" r:id="rId1"/>
    <sheet name="Sheet1" sheetId="2" r:id="rId2"/>
  </sheets>
  <calcPr calcId="145621"/>
</workbook>
</file>

<file path=xl/calcChain.xml><?xml version="1.0" encoding="utf-8"?>
<calcChain xmlns="http://schemas.openxmlformats.org/spreadsheetml/2006/main">
  <c r="K3" i="1" l="1"/>
  <c r="K4" i="1" s="1"/>
  <c r="K2" i="1"/>
  <c r="N56" i="1"/>
  <c r="M56" i="1"/>
  <c r="K56" i="1"/>
  <c r="K57" i="1"/>
  <c r="M57" i="1" s="1"/>
  <c r="N57" i="1" l="1"/>
  <c r="M76" i="1"/>
  <c r="N76" i="1" s="1"/>
  <c r="M75" i="1"/>
  <c r="N75" i="1" s="1"/>
  <c r="M74" i="1"/>
  <c r="N74" i="1" s="1"/>
  <c r="N71" i="1"/>
  <c r="M71" i="1"/>
  <c r="N69" i="1"/>
  <c r="M69" i="1"/>
  <c r="M54" i="1"/>
  <c r="N54" i="1" s="1"/>
  <c r="K62" i="1"/>
  <c r="K61" i="1"/>
  <c r="N61" i="1" s="1"/>
  <c r="K60" i="1"/>
  <c r="M60" i="1" s="1"/>
  <c r="M63" i="1"/>
  <c r="N63" i="1" s="1"/>
  <c r="N65" i="1"/>
  <c r="M65" i="1"/>
  <c r="K53" i="1"/>
  <c r="M53" i="1" s="1"/>
  <c r="K52" i="1"/>
  <c r="M52" i="1" s="1"/>
  <c r="K51" i="1"/>
  <c r="N51" i="1" s="1"/>
  <c r="K50" i="1"/>
  <c r="N50" i="1" s="1"/>
  <c r="K49" i="1"/>
  <c r="M49" i="1" s="1"/>
  <c r="K48" i="1"/>
  <c r="M48" i="1" s="1"/>
  <c r="K47" i="1"/>
  <c r="N47" i="1" s="1"/>
  <c r="K46" i="1"/>
  <c r="N46" i="1" s="1"/>
  <c r="K45" i="1"/>
  <c r="M45" i="1" s="1"/>
  <c r="K44" i="1"/>
  <c r="M44" i="1" s="1"/>
  <c r="N62" i="1"/>
  <c r="K43" i="1"/>
  <c r="M43" i="1" s="1"/>
  <c r="K42" i="1"/>
  <c r="N42" i="1" s="1"/>
  <c r="K41" i="1"/>
  <c r="N41" i="1" s="1"/>
  <c r="K40" i="1"/>
  <c r="M40" i="1" s="1"/>
  <c r="K39" i="1"/>
  <c r="M39" i="1" s="1"/>
  <c r="K38" i="1"/>
  <c r="N38" i="1" s="1"/>
  <c r="K37" i="1"/>
  <c r="N37" i="1" s="1"/>
  <c r="K36" i="1"/>
  <c r="M36" i="1" s="1"/>
  <c r="K35" i="1"/>
  <c r="M35" i="1" s="1"/>
  <c r="K34" i="1"/>
  <c r="N34" i="1" s="1"/>
  <c r="K33" i="1"/>
  <c r="N33" i="1" s="1"/>
  <c r="K32" i="1"/>
  <c r="M32" i="1" s="1"/>
  <c r="K31" i="1"/>
  <c r="M31" i="1" s="1"/>
  <c r="K30" i="1"/>
  <c r="N30" i="1" s="1"/>
  <c r="K29" i="1"/>
  <c r="N29" i="1" s="1"/>
  <c r="K28" i="1"/>
  <c r="M28" i="1" s="1"/>
  <c r="K27" i="1"/>
  <c r="M27" i="1" s="1"/>
  <c r="K26" i="1"/>
  <c r="N26" i="1" s="1"/>
  <c r="K25" i="1"/>
  <c r="N25" i="1" s="1"/>
  <c r="K24" i="1"/>
  <c r="M24" i="1" s="1"/>
  <c r="K23" i="1"/>
  <c r="M23" i="1" s="1"/>
  <c r="K22" i="1"/>
  <c r="N22" i="1" s="1"/>
  <c r="K21" i="1"/>
  <c r="N21" i="1" s="1"/>
  <c r="K20" i="1"/>
  <c r="M20" i="1" s="1"/>
  <c r="K19" i="1"/>
  <c r="M19" i="1" s="1"/>
  <c r="K18" i="1"/>
  <c r="N18" i="1" s="1"/>
  <c r="K17" i="1"/>
  <c r="N17" i="1" s="1"/>
  <c r="K16" i="1"/>
  <c r="M16" i="1" s="1"/>
  <c r="K15" i="1"/>
  <c r="M15" i="1" s="1"/>
  <c r="K14" i="1"/>
  <c r="N14" i="1" s="1"/>
  <c r="K13" i="1"/>
  <c r="N13" i="1" s="1"/>
  <c r="K12" i="1"/>
  <c r="M12" i="1" s="1"/>
  <c r="K11" i="1"/>
  <c r="M11" i="1" s="1"/>
  <c r="K10" i="1"/>
  <c r="N10" i="1" s="1"/>
  <c r="K9" i="1"/>
  <c r="N9" i="1" s="1"/>
  <c r="K8" i="1"/>
  <c r="M8" i="1" s="1"/>
  <c r="M66" i="1"/>
  <c r="N66" i="1" s="1"/>
  <c r="M9" i="1" l="1"/>
  <c r="M13" i="1"/>
  <c r="M17" i="1"/>
  <c r="M21" i="1"/>
  <c r="M25" i="1"/>
  <c r="M29" i="1"/>
  <c r="M33" i="1"/>
  <c r="M37" i="1"/>
  <c r="M41" i="1"/>
  <c r="M61" i="1"/>
  <c r="M46" i="1"/>
  <c r="M50" i="1"/>
  <c r="N11" i="1"/>
  <c r="N15" i="1"/>
  <c r="N19" i="1"/>
  <c r="N23" i="1"/>
  <c r="N27" i="1"/>
  <c r="N31" i="1"/>
  <c r="N35" i="1"/>
  <c r="N39" i="1"/>
  <c r="N43" i="1"/>
  <c r="N44" i="1"/>
  <c r="N48" i="1"/>
  <c r="N52" i="1"/>
  <c r="M10" i="1"/>
  <c r="M14" i="1"/>
  <c r="M18" i="1"/>
  <c r="M22" i="1"/>
  <c r="M26" i="1"/>
  <c r="M30" i="1"/>
  <c r="M34" i="1"/>
  <c r="M38" i="1"/>
  <c r="M42" i="1"/>
  <c r="M62" i="1"/>
  <c r="M47" i="1"/>
  <c r="M51" i="1"/>
  <c r="N8" i="1"/>
  <c r="N12" i="1"/>
  <c r="N16" i="1"/>
  <c r="N20" i="1"/>
  <c r="N24" i="1"/>
  <c r="N28" i="1"/>
  <c r="N32" i="1"/>
  <c r="N36" i="1"/>
  <c r="N40" i="1"/>
  <c r="N60" i="1"/>
  <c r="N45" i="1"/>
  <c r="N49" i="1"/>
  <c r="N53" i="1"/>
  <c r="J2" i="1" l="1"/>
  <c r="J3" i="1" s="1"/>
  <c r="J4" i="1" s="1"/>
</calcChain>
</file>

<file path=xl/sharedStrings.xml><?xml version="1.0" encoding="utf-8"?>
<sst xmlns="http://schemas.openxmlformats.org/spreadsheetml/2006/main" count="448" uniqueCount="179">
  <si>
    <t>Bill of Materials generated with DesignSpark PCB - www.DesignSpark.com/pcb</t>
  </si>
  <si>
    <t>--------------------------------------------------------------------------</t>
  </si>
  <si>
    <t>Ref Name</t>
  </si>
  <si>
    <t>Qty</t>
  </si>
  <si>
    <t>Component</t>
  </si>
  <si>
    <t>Value</t>
  </si>
  <si>
    <t>Package</t>
  </si>
  <si>
    <t>Manufacturer</t>
  </si>
  <si>
    <t>MPN</t>
  </si>
  <si>
    <t>Description</t>
  </si>
  <si>
    <t>U1</t>
  </si>
  <si>
    <t>2N7000</t>
  </si>
  <si>
    <t>TO-92-3L</t>
  </si>
  <si>
    <t>Fairchild Semiconductor</t>
  </si>
  <si>
    <t>Trans MOSFET N-CH 60V 0.2A 3-Pin TO-92</t>
  </si>
  <si>
    <t>U8</t>
  </si>
  <si>
    <t>U9</t>
  </si>
  <si>
    <t>J1</t>
  </si>
  <si>
    <t>640456-2</t>
  </si>
  <si>
    <t>CONN_640456-2</t>
  </si>
  <si>
    <t>Tyco Electronics Amp</t>
  </si>
  <si>
    <t>2 way MTA straight friction lock header</t>
  </si>
  <si>
    <t>J2</t>
  </si>
  <si>
    <t>J3</t>
  </si>
  <si>
    <t>J4</t>
  </si>
  <si>
    <t>J5</t>
  </si>
  <si>
    <t>J6</t>
  </si>
  <si>
    <t>J7</t>
  </si>
  <si>
    <t>U6</t>
  </si>
  <si>
    <t>ATMEGA328P-PU</t>
  </si>
  <si>
    <t>28P3</t>
  </si>
  <si>
    <t>Atmel</t>
  </si>
  <si>
    <t>Microcontroller AVR 32K FLASH 2K SRAM</t>
  </si>
  <si>
    <t>C1</t>
  </si>
  <si>
    <t>Capacitor</t>
  </si>
  <si>
    <t>DSC</t>
  </si>
  <si>
    <t>C12</t>
  </si>
  <si>
    <t>C13</t>
  </si>
  <si>
    <t>C6</t>
  </si>
  <si>
    <t>22pF</t>
  </si>
  <si>
    <t>C9</t>
  </si>
  <si>
    <t>C15</t>
  </si>
  <si>
    <t>Capacritor_Pol</t>
  </si>
  <si>
    <t>10uF</t>
  </si>
  <si>
    <t>DSCV</t>
  </si>
  <si>
    <t>C7</t>
  </si>
  <si>
    <t>100uF</t>
  </si>
  <si>
    <t>R12</t>
  </si>
  <si>
    <t>CFR25J2R2</t>
  </si>
  <si>
    <t>2R2</t>
  </si>
  <si>
    <t>RES_CFR25_TYCO</t>
  </si>
  <si>
    <t>Tyco Electronics</t>
  </si>
  <si>
    <t>CFR25 carbon film resistor,2R2 0.33W</t>
  </si>
  <si>
    <t>R1</t>
  </si>
  <si>
    <t>CFR25J10K</t>
  </si>
  <si>
    <t>10K</t>
  </si>
  <si>
    <t>CFR25 carbon film resistor,10K 0.33W</t>
  </si>
  <si>
    <t>R4</t>
  </si>
  <si>
    <t>R3</t>
  </si>
  <si>
    <t>R2</t>
  </si>
  <si>
    <t>R5</t>
  </si>
  <si>
    <t>R6</t>
  </si>
  <si>
    <t>R8</t>
  </si>
  <si>
    <t>R7</t>
  </si>
  <si>
    <t>CFR25J820R</t>
  </si>
  <si>
    <t>820R</t>
  </si>
  <si>
    <t>CFR25 carbon film resistor,820R 0.33W</t>
  </si>
  <si>
    <t>R11</t>
  </si>
  <si>
    <t>R18</t>
  </si>
  <si>
    <t>U3</t>
  </si>
  <si>
    <t>FOD817</t>
  </si>
  <si>
    <t>MDIP-4L</t>
  </si>
  <si>
    <t>U4</t>
  </si>
  <si>
    <t>U5</t>
  </si>
  <si>
    <t>U2</t>
  </si>
  <si>
    <t>L7805ABP</t>
  </si>
  <si>
    <t>TO-220FP</t>
  </si>
  <si>
    <t>STMicroelectronics</t>
  </si>
  <si>
    <t>Voltage Regulator 5V 1A TO-220FP</t>
  </si>
  <si>
    <t>R15</t>
  </si>
  <si>
    <t>LR1F2R0</t>
  </si>
  <si>
    <t>2R</t>
  </si>
  <si>
    <t>RES_LR1_TYCO</t>
  </si>
  <si>
    <t>Metal film resistor,2R 0.6W</t>
  </si>
  <si>
    <t>R16</t>
  </si>
  <si>
    <t>R9</t>
  </si>
  <si>
    <t>LR1F110K</t>
  </si>
  <si>
    <t>110K</t>
  </si>
  <si>
    <t>Metal film resistor,110K 0.6W</t>
  </si>
  <si>
    <t>R10</t>
  </si>
  <si>
    <t>R13</t>
  </si>
  <si>
    <t>D3</t>
  </si>
  <si>
    <t>NUD4001</t>
  </si>
  <si>
    <t>SM</t>
  </si>
  <si>
    <t>D4</t>
  </si>
  <si>
    <t>D5</t>
  </si>
  <si>
    <t>XTAL1</t>
  </si>
  <si>
    <t>XTAL</t>
  </si>
  <si>
    <t>646-6529</t>
  </si>
  <si>
    <t>ON Semiconductor</t>
  </si>
  <si>
    <t>NUD4001DR2G</t>
  </si>
  <si>
    <t>High Current LED Driver</t>
  </si>
  <si>
    <t>Crystal 16.000MHz</t>
  </si>
  <si>
    <t>HC49S</t>
  </si>
  <si>
    <t>RALTRON</t>
  </si>
  <si>
    <t>693-6970</t>
  </si>
  <si>
    <t>FOD852</t>
  </si>
  <si>
    <t>Optocoupler Transistor 50-600% DIP4 (farnell)</t>
  </si>
  <si>
    <t>Panasonic</t>
  </si>
  <si>
    <t>NHG min Al electrolytic cap,100uF 25V</t>
  </si>
  <si>
    <t>365-4127</t>
  </si>
  <si>
    <t>ECA1EHG101</t>
  </si>
  <si>
    <t>ECA1CM100</t>
  </si>
  <si>
    <t>228-6622</t>
  </si>
  <si>
    <t>M radial Al elect cap,10uF 16V 85deg C</t>
  </si>
  <si>
    <t>Vishay</t>
  </si>
  <si>
    <t>X1/Y1 Disc Ceramic Cap,U2J,22pF 500Vac</t>
  </si>
  <si>
    <t>VY1220K31U2JQ6TV0</t>
  </si>
  <si>
    <t>736-8833</t>
  </si>
  <si>
    <t>CERA MITE</t>
  </si>
  <si>
    <t>Y2 suppression cap,1nF 250Vac</t>
  </si>
  <si>
    <t>214-5931</t>
  </si>
  <si>
    <t>30LVD10 7.5PCM</t>
  </si>
  <si>
    <t>1nF</t>
  </si>
  <si>
    <t>J1 - Plug</t>
  </si>
  <si>
    <t>J2 - Plug</t>
  </si>
  <si>
    <t>J3 - Plug</t>
  </si>
  <si>
    <t>J4 - Plug</t>
  </si>
  <si>
    <t>J5 - Plug</t>
  </si>
  <si>
    <t>J6 - Plug</t>
  </si>
  <si>
    <t>J7 - Plug</t>
  </si>
  <si>
    <t>770602-2</t>
  </si>
  <si>
    <t>293-0026</t>
  </si>
  <si>
    <t>2 way socket housing,2.54mm pitch</t>
  </si>
  <si>
    <t>671-4733</t>
  </si>
  <si>
    <t>PCB Etched</t>
  </si>
  <si>
    <t>N/A</t>
  </si>
  <si>
    <t>PCBTrain</t>
  </si>
  <si>
    <t>www.pcbtrain.co.uk</t>
  </si>
  <si>
    <t>Etched PCB ready to solder</t>
  </si>
  <si>
    <t>Min Qty</t>
  </si>
  <si>
    <t>Cost</t>
  </si>
  <si>
    <t>To make</t>
  </si>
  <si>
    <t>10 Sets of lights</t>
  </si>
  <si>
    <t>Cost to make 10 Sets of headlights</t>
  </si>
  <si>
    <t>Cost per set</t>
  </si>
  <si>
    <t>Delivery charge RS</t>
  </si>
  <si>
    <t>Delivery charge Farnell</t>
  </si>
  <si>
    <t>Delivery Charge PCB Train</t>
  </si>
  <si>
    <t>VAT</t>
  </si>
  <si>
    <t>Farnell Supply</t>
  </si>
  <si>
    <t>Part Number</t>
  </si>
  <si>
    <t>RS Supply</t>
  </si>
  <si>
    <t>PCB Train Supply</t>
  </si>
  <si>
    <t>Ebay</t>
  </si>
  <si>
    <t>G091</t>
  </si>
  <si>
    <t>ABS CASE -PLASTIC BOX -PLASTIC CASE - 120x70x30mm G091</t>
  </si>
  <si>
    <t>PSU</t>
  </si>
  <si>
    <t>DC Boost Buck Voltage Converter 3-35V to 1.25-30V 2A Full Range Regulator LM2587</t>
  </si>
  <si>
    <t>ABS Case 120 x 70 x 30</t>
  </si>
  <si>
    <t>Delivery for above</t>
  </si>
  <si>
    <t>Alibaba</t>
  </si>
  <si>
    <t>90MM(outer diameter=90mm) 63-SMD 3528 LED Cool White Light Car Angel Eyes Daytime Running Light Lamp (9~30V / 2 PCS)</t>
  </si>
  <si>
    <t>95MM(outer diameter=95mm) 66-SMD 3528 LED Cool White Light Car Angel Eyes Daytime Running Light Lamp (9~30V / 2 PCS/lot)</t>
  </si>
  <si>
    <t>85MM(outer diameter=85mm) 63-SMD 3528 LED Cool White LightDaytime Running Light Lamp (9~30V / 2 PCS)</t>
  </si>
  <si>
    <t>Cost per Headlight</t>
  </si>
  <si>
    <t>Ordered</t>
  </si>
  <si>
    <t>X</t>
  </si>
  <si>
    <t>Actual Cost</t>
  </si>
  <si>
    <t>J1/2/3/4/5/6/7 Pins</t>
  </si>
  <si>
    <t>293-0111</t>
  </si>
  <si>
    <t>TE Connectivity</t>
  </si>
  <si>
    <t>Tin plated crimp contact</t>
  </si>
  <si>
    <t>770666-1</t>
  </si>
  <si>
    <t>58517-1</t>
  </si>
  <si>
    <t>293-0098</t>
  </si>
  <si>
    <t>Crimping tool for CST 100 connector</t>
  </si>
  <si>
    <t>Estimate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</si>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</sst>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£&quot;* #,##0.00_-;\-&quot;£&quot;* #,##0.00_-;_-&quot;£&quot;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18" fillId="0" borderId="0" xfId="43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/>
    <xf numFmtId="44" fontId="6" fillId="2" borderId="0" xfId="1" applyFont="1" applyFill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Font="1" applyBorder="1" applyAlignment="1">
      <alignment horizontal="center"/>
    </xf>
    <xf numFmtId="44" fontId="6" fillId="2" borderId="0" xfId="7" applyNumberForma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cbtrain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"/>
  <sheetViews>
    <sheetView tabSelected="1" zoomScale="55" zoomScaleNormal="55" workbookViewId="0">
      <selection activeCell="U4" sqref="U4"/>
    </sheetView>
  </sheetViews>
  <sheetFormatPr defaultRowHeight="15" x14ac:dyDescent="0.25"/>
  <cols>
    <col min="1" max="1" width="29.85546875" customWidth="1"/>
    <col min="3" max="3" width="16" bestFit="1" customWidth="1"/>
    <col min="5" max="5" width="18.28515625" customWidth="1"/>
    <col min="6" max="6" width="22.7109375" bestFit="1" customWidth="1"/>
    <col min="7" max="7" width="19.42578125" bestFit="1" customWidth="1"/>
    <col min="8" max="8" width="15" style="2" bestFit="1" customWidth="1"/>
    <col min="9" max="9" width="88" bestFit="1" customWidth="1"/>
    <col min="10" max="10" width="12.28515625" bestFit="1" customWidth="1"/>
    <col min="11" max="11" width="11.42578125" customWidth="1"/>
    <col min="13" max="13" width="11.5703125" bestFit="1" customWidth="1"/>
    <col min="14" max="14" width="22" bestFit="1" customWidth="1"/>
    <col min="15" max="15" width="10.140625" style="8" bestFit="1" customWidth="1"/>
    <col min="16" max="16" width="16.28515625" bestFit="1" customWidth="1"/>
  </cols>
  <sheetData>
    <row r="1" spans="1:16" x14ac:dyDescent="0.25">
      <c r="J1" t="s">
        <v>177</v>
      </c>
      <c r="K1" t="s">
        <v>178</v>
      </c>
    </row>
    <row r="2" spans="1:16" x14ac:dyDescent="0.25">
      <c r="A2" t="s">
        <v>0</v>
      </c>
      <c r="I2" t="s">
        <v>144</v>
      </c>
      <c r="J2" s="3">
        <f>SUM(N8:N266)</f>
        <v>1405.3160000000003</v>
      </c>
      <c r="K2" s="14">
        <f>SUM(P:P)</f>
        <v>761.03</v>
      </c>
    </row>
    <row r="3" spans="1:16" x14ac:dyDescent="0.25">
      <c r="A3" t="s">
        <v>1</v>
      </c>
      <c r="I3" t="s">
        <v>145</v>
      </c>
      <c r="J3" s="4">
        <f>SUM(J2/10)</f>
        <v>140.53160000000003</v>
      </c>
      <c r="K3" s="14">
        <f>SUM(K2/10)</f>
        <v>76.102999999999994</v>
      </c>
    </row>
    <row r="4" spans="1:16" x14ac:dyDescent="0.25">
      <c r="I4" t="s">
        <v>165</v>
      </c>
      <c r="J4" s="4">
        <f>SUM(J3/2)</f>
        <v>70.265800000000013</v>
      </c>
      <c r="K4" s="14">
        <f>SUM(K3/2)</f>
        <v>38.051499999999997</v>
      </c>
    </row>
    <row r="5" spans="1:16" x14ac:dyDescent="0.25">
      <c r="N5" s="5" t="s">
        <v>142</v>
      </c>
    </row>
    <row r="6" spans="1:16" x14ac:dyDescent="0.25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6" t="s">
        <v>151</v>
      </c>
      <c r="I6" s="5" t="s">
        <v>9</v>
      </c>
      <c r="J6" s="5"/>
      <c r="K6" s="5" t="s">
        <v>149</v>
      </c>
      <c r="L6" s="5" t="s">
        <v>140</v>
      </c>
      <c r="M6" s="5" t="s">
        <v>141</v>
      </c>
      <c r="N6" s="5" t="s">
        <v>143</v>
      </c>
      <c r="O6" s="8" t="s">
        <v>166</v>
      </c>
      <c r="P6" s="5" t="s">
        <v>168</v>
      </c>
    </row>
    <row r="7" spans="1:16" x14ac:dyDescent="0.25">
      <c r="A7" s="13" t="s">
        <v>152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9"/>
      <c r="P7" s="10"/>
    </row>
    <row r="8" spans="1:16" x14ac:dyDescent="0.25">
      <c r="A8" t="s">
        <v>10</v>
      </c>
      <c r="B8">
        <v>1</v>
      </c>
      <c r="C8" t="s">
        <v>11</v>
      </c>
      <c r="E8" t="s">
        <v>12</v>
      </c>
      <c r="F8" t="s">
        <v>13</v>
      </c>
      <c r="G8" t="s">
        <v>11</v>
      </c>
      <c r="H8" s="2" t="s">
        <v>134</v>
      </c>
      <c r="I8" t="s">
        <v>14</v>
      </c>
      <c r="J8" s="3">
        <v>7.8E-2</v>
      </c>
      <c r="K8" s="3">
        <f>SUM(J8*0.2)</f>
        <v>1.5600000000000001E-2</v>
      </c>
      <c r="L8">
        <v>20</v>
      </c>
      <c r="M8" s="3">
        <f>SUM(L8*(J8+K8))</f>
        <v>1.8720000000000001</v>
      </c>
      <c r="N8" s="4">
        <f>SUM(J8+K8)*20</f>
        <v>1.8720000000000001</v>
      </c>
      <c r="O8" s="8" t="s">
        <v>167</v>
      </c>
      <c r="P8" s="11">
        <v>202.39</v>
      </c>
    </row>
    <row r="9" spans="1:16" x14ac:dyDescent="0.25">
      <c r="A9" t="s">
        <v>15</v>
      </c>
      <c r="B9">
        <v>1</v>
      </c>
      <c r="C9" t="s">
        <v>11</v>
      </c>
      <c r="E9" t="s">
        <v>12</v>
      </c>
      <c r="F9" t="s">
        <v>13</v>
      </c>
      <c r="G9" t="s">
        <v>11</v>
      </c>
      <c r="H9" s="2" t="s">
        <v>134</v>
      </c>
      <c r="I9" t="s">
        <v>14</v>
      </c>
      <c r="J9" s="3">
        <v>7.8E-2</v>
      </c>
      <c r="K9" s="3">
        <f t="shared" ref="K9:K53" si="0">SUM(J9*0.2)</f>
        <v>1.5600000000000001E-2</v>
      </c>
      <c r="L9">
        <v>20</v>
      </c>
      <c r="M9" s="3">
        <f t="shared" ref="M9:M53" si="1">SUM(L9*(J9+K9))</f>
        <v>1.8720000000000001</v>
      </c>
      <c r="N9" s="4">
        <f t="shared" ref="N9:N53" si="2">SUM(J9+K9)*20</f>
        <v>1.8720000000000001</v>
      </c>
      <c r="O9" s="8" t="s">
        <v>167</v>
      </c>
      <c r="P9" s="11"/>
    </row>
    <row r="10" spans="1:16" x14ac:dyDescent="0.25">
      <c r="A10" t="s">
        <v>16</v>
      </c>
      <c r="B10">
        <v>1</v>
      </c>
      <c r="C10" t="s">
        <v>11</v>
      </c>
      <c r="E10" t="s">
        <v>12</v>
      </c>
      <c r="F10" t="s">
        <v>13</v>
      </c>
      <c r="G10" t="s">
        <v>11</v>
      </c>
      <c r="H10" s="2" t="s">
        <v>134</v>
      </c>
      <c r="I10" t="s">
        <v>14</v>
      </c>
      <c r="J10" s="3">
        <v>7.8E-2</v>
      </c>
      <c r="K10" s="3">
        <f t="shared" si="0"/>
        <v>1.5600000000000001E-2</v>
      </c>
      <c r="L10">
        <v>20</v>
      </c>
      <c r="M10" s="3">
        <f t="shared" si="1"/>
        <v>1.8720000000000001</v>
      </c>
      <c r="N10" s="4">
        <f t="shared" si="2"/>
        <v>1.8720000000000001</v>
      </c>
      <c r="O10" s="8" t="s">
        <v>167</v>
      </c>
      <c r="P10" s="11"/>
    </row>
    <row r="11" spans="1:16" x14ac:dyDescent="0.25">
      <c r="A11" t="s">
        <v>124</v>
      </c>
      <c r="B11">
        <v>1</v>
      </c>
      <c r="C11" t="s">
        <v>131</v>
      </c>
      <c r="E11" t="s">
        <v>19</v>
      </c>
      <c r="F11" t="s">
        <v>20</v>
      </c>
      <c r="G11" t="s">
        <v>131</v>
      </c>
      <c r="H11" s="2" t="s">
        <v>132</v>
      </c>
      <c r="I11" t="s">
        <v>133</v>
      </c>
      <c r="J11" s="3">
        <v>0.11</v>
      </c>
      <c r="K11" s="3">
        <f t="shared" si="0"/>
        <v>2.2000000000000002E-2</v>
      </c>
      <c r="L11">
        <v>10</v>
      </c>
      <c r="M11" s="3">
        <f t="shared" si="1"/>
        <v>1.32</v>
      </c>
      <c r="N11" s="4">
        <f t="shared" si="2"/>
        <v>2.64</v>
      </c>
      <c r="O11" s="8" t="s">
        <v>167</v>
      </c>
      <c r="P11" s="11"/>
    </row>
    <row r="12" spans="1:16" x14ac:dyDescent="0.25">
      <c r="A12" t="s">
        <v>125</v>
      </c>
      <c r="B12">
        <v>1</v>
      </c>
      <c r="C12" t="s">
        <v>131</v>
      </c>
      <c r="E12" t="s">
        <v>19</v>
      </c>
      <c r="F12" t="s">
        <v>20</v>
      </c>
      <c r="G12" t="s">
        <v>131</v>
      </c>
      <c r="H12" s="2" t="s">
        <v>132</v>
      </c>
      <c r="I12" t="s">
        <v>133</v>
      </c>
      <c r="J12" s="3">
        <v>0.11</v>
      </c>
      <c r="K12" s="3">
        <f t="shared" si="0"/>
        <v>2.2000000000000002E-2</v>
      </c>
      <c r="L12">
        <v>10</v>
      </c>
      <c r="M12" s="3">
        <f t="shared" si="1"/>
        <v>1.32</v>
      </c>
      <c r="N12" s="4">
        <f t="shared" si="2"/>
        <v>2.64</v>
      </c>
      <c r="O12" s="8" t="s">
        <v>167</v>
      </c>
      <c r="P12" s="11"/>
    </row>
    <row r="13" spans="1:16" x14ac:dyDescent="0.25">
      <c r="A13" t="s">
        <v>126</v>
      </c>
      <c r="B13">
        <v>1</v>
      </c>
      <c r="C13" t="s">
        <v>131</v>
      </c>
      <c r="E13" t="s">
        <v>19</v>
      </c>
      <c r="F13" t="s">
        <v>20</v>
      </c>
      <c r="G13" t="s">
        <v>131</v>
      </c>
      <c r="H13" s="2" t="s">
        <v>132</v>
      </c>
      <c r="I13" t="s">
        <v>133</v>
      </c>
      <c r="J13" s="3">
        <v>0.11</v>
      </c>
      <c r="K13" s="3">
        <f t="shared" si="0"/>
        <v>2.2000000000000002E-2</v>
      </c>
      <c r="L13">
        <v>10</v>
      </c>
      <c r="M13" s="3">
        <f t="shared" si="1"/>
        <v>1.32</v>
      </c>
      <c r="N13" s="4">
        <f t="shared" si="2"/>
        <v>2.64</v>
      </c>
      <c r="O13" s="8" t="s">
        <v>167</v>
      </c>
      <c r="P13" s="11"/>
    </row>
    <row r="14" spans="1:16" x14ac:dyDescent="0.25">
      <c r="A14" t="s">
        <v>127</v>
      </c>
      <c r="B14">
        <v>1</v>
      </c>
      <c r="C14" t="s">
        <v>131</v>
      </c>
      <c r="E14" t="s">
        <v>19</v>
      </c>
      <c r="F14" t="s">
        <v>20</v>
      </c>
      <c r="G14" t="s">
        <v>131</v>
      </c>
      <c r="H14" s="2" t="s">
        <v>132</v>
      </c>
      <c r="I14" t="s">
        <v>133</v>
      </c>
      <c r="J14" s="3">
        <v>0.11</v>
      </c>
      <c r="K14" s="3">
        <f t="shared" si="0"/>
        <v>2.2000000000000002E-2</v>
      </c>
      <c r="L14">
        <v>10</v>
      </c>
      <c r="M14" s="3">
        <f t="shared" si="1"/>
        <v>1.32</v>
      </c>
      <c r="N14" s="4">
        <f t="shared" si="2"/>
        <v>2.64</v>
      </c>
      <c r="O14" s="8" t="s">
        <v>167</v>
      </c>
      <c r="P14" s="11"/>
    </row>
    <row r="15" spans="1:16" x14ac:dyDescent="0.25">
      <c r="A15" t="s">
        <v>128</v>
      </c>
      <c r="B15">
        <v>1</v>
      </c>
      <c r="C15" t="s">
        <v>131</v>
      </c>
      <c r="E15" t="s">
        <v>19</v>
      </c>
      <c r="F15" t="s">
        <v>20</v>
      </c>
      <c r="G15" t="s">
        <v>131</v>
      </c>
      <c r="H15" s="2" t="s">
        <v>132</v>
      </c>
      <c r="I15" t="s">
        <v>133</v>
      </c>
      <c r="J15" s="3">
        <v>0.11</v>
      </c>
      <c r="K15" s="3">
        <f t="shared" si="0"/>
        <v>2.2000000000000002E-2</v>
      </c>
      <c r="L15">
        <v>10</v>
      </c>
      <c r="M15" s="3">
        <f t="shared" si="1"/>
        <v>1.32</v>
      </c>
      <c r="N15" s="4">
        <f t="shared" si="2"/>
        <v>2.64</v>
      </c>
      <c r="O15" s="8" t="s">
        <v>167</v>
      </c>
      <c r="P15" s="11"/>
    </row>
    <row r="16" spans="1:16" x14ac:dyDescent="0.25">
      <c r="A16" t="s">
        <v>129</v>
      </c>
      <c r="B16">
        <v>1</v>
      </c>
      <c r="C16" t="s">
        <v>131</v>
      </c>
      <c r="E16" t="s">
        <v>19</v>
      </c>
      <c r="F16" t="s">
        <v>20</v>
      </c>
      <c r="G16" t="s">
        <v>131</v>
      </c>
      <c r="H16" s="2" t="s">
        <v>132</v>
      </c>
      <c r="I16" t="s">
        <v>133</v>
      </c>
      <c r="J16" s="3">
        <v>0.11</v>
      </c>
      <c r="K16" s="3">
        <f t="shared" si="0"/>
        <v>2.2000000000000002E-2</v>
      </c>
      <c r="L16">
        <v>10</v>
      </c>
      <c r="M16" s="3">
        <f t="shared" si="1"/>
        <v>1.32</v>
      </c>
      <c r="N16" s="4">
        <f t="shared" si="2"/>
        <v>2.64</v>
      </c>
      <c r="O16" s="8" t="s">
        <v>167</v>
      </c>
      <c r="P16" s="11"/>
    </row>
    <row r="17" spans="1:16" x14ac:dyDescent="0.25">
      <c r="A17" t="s">
        <v>130</v>
      </c>
      <c r="B17">
        <v>1</v>
      </c>
      <c r="C17" t="s">
        <v>131</v>
      </c>
      <c r="E17" t="s">
        <v>19</v>
      </c>
      <c r="F17" t="s">
        <v>20</v>
      </c>
      <c r="G17" t="s">
        <v>131</v>
      </c>
      <c r="H17" s="2" t="s">
        <v>132</v>
      </c>
      <c r="I17" t="s">
        <v>133</v>
      </c>
      <c r="J17" s="3">
        <v>0.11</v>
      </c>
      <c r="K17" s="3">
        <f t="shared" si="0"/>
        <v>2.2000000000000002E-2</v>
      </c>
      <c r="L17">
        <v>10</v>
      </c>
      <c r="M17" s="3">
        <f t="shared" si="1"/>
        <v>1.32</v>
      </c>
      <c r="N17" s="4">
        <f t="shared" si="2"/>
        <v>2.64</v>
      </c>
      <c r="O17" s="8" t="s">
        <v>167</v>
      </c>
      <c r="P17" s="11"/>
    </row>
    <row r="18" spans="1:16" x14ac:dyDescent="0.25">
      <c r="A18" t="s">
        <v>17</v>
      </c>
      <c r="B18">
        <v>1</v>
      </c>
      <c r="C18" t="s">
        <v>18</v>
      </c>
      <c r="E18" t="s">
        <v>19</v>
      </c>
      <c r="F18" t="s">
        <v>20</v>
      </c>
      <c r="G18" t="s">
        <v>18</v>
      </c>
      <c r="H18" s="2">
        <v>1320355</v>
      </c>
      <c r="I18" t="s">
        <v>21</v>
      </c>
      <c r="J18" s="3">
        <v>0.12</v>
      </c>
      <c r="K18" s="3">
        <f t="shared" si="0"/>
        <v>2.4E-2</v>
      </c>
      <c r="L18">
        <v>10</v>
      </c>
      <c r="M18" s="3">
        <f t="shared" si="1"/>
        <v>1.44</v>
      </c>
      <c r="N18" s="4">
        <f t="shared" si="2"/>
        <v>2.88</v>
      </c>
      <c r="O18" s="8" t="s">
        <v>167</v>
      </c>
      <c r="P18" s="11"/>
    </row>
    <row r="19" spans="1:16" x14ac:dyDescent="0.25">
      <c r="A19" t="s">
        <v>22</v>
      </c>
      <c r="B19">
        <v>1</v>
      </c>
      <c r="C19" t="s">
        <v>18</v>
      </c>
      <c r="E19" t="s">
        <v>19</v>
      </c>
      <c r="F19" t="s">
        <v>20</v>
      </c>
      <c r="G19" t="s">
        <v>18</v>
      </c>
      <c r="H19" s="2">
        <v>1320355</v>
      </c>
      <c r="I19" t="s">
        <v>21</v>
      </c>
      <c r="J19" s="3">
        <v>0.12</v>
      </c>
      <c r="K19" s="3">
        <f t="shared" si="0"/>
        <v>2.4E-2</v>
      </c>
      <c r="L19">
        <v>10</v>
      </c>
      <c r="M19" s="3">
        <f t="shared" si="1"/>
        <v>1.44</v>
      </c>
      <c r="N19" s="4">
        <f t="shared" si="2"/>
        <v>2.88</v>
      </c>
      <c r="O19" s="8" t="s">
        <v>167</v>
      </c>
      <c r="P19" s="11"/>
    </row>
    <row r="20" spans="1:16" x14ac:dyDescent="0.25">
      <c r="A20" t="s">
        <v>23</v>
      </c>
      <c r="B20">
        <v>1</v>
      </c>
      <c r="C20" t="s">
        <v>18</v>
      </c>
      <c r="E20" t="s">
        <v>19</v>
      </c>
      <c r="F20" t="s">
        <v>20</v>
      </c>
      <c r="G20" t="s">
        <v>18</v>
      </c>
      <c r="H20" s="2">
        <v>1320355</v>
      </c>
      <c r="I20" t="s">
        <v>21</v>
      </c>
      <c r="J20" s="3">
        <v>0.12</v>
      </c>
      <c r="K20" s="3">
        <f t="shared" si="0"/>
        <v>2.4E-2</v>
      </c>
      <c r="L20">
        <v>10</v>
      </c>
      <c r="M20" s="3">
        <f t="shared" si="1"/>
        <v>1.44</v>
      </c>
      <c r="N20" s="4">
        <f t="shared" si="2"/>
        <v>2.88</v>
      </c>
      <c r="O20" s="8" t="s">
        <v>167</v>
      </c>
      <c r="P20" s="11"/>
    </row>
    <row r="21" spans="1:16" x14ac:dyDescent="0.25">
      <c r="A21" t="s">
        <v>24</v>
      </c>
      <c r="B21">
        <v>1</v>
      </c>
      <c r="C21" t="s">
        <v>18</v>
      </c>
      <c r="E21" t="s">
        <v>19</v>
      </c>
      <c r="F21" t="s">
        <v>20</v>
      </c>
      <c r="G21" t="s">
        <v>18</v>
      </c>
      <c r="H21" s="2">
        <v>1320355</v>
      </c>
      <c r="I21" t="s">
        <v>21</v>
      </c>
      <c r="J21" s="3">
        <v>0.12</v>
      </c>
      <c r="K21" s="3">
        <f t="shared" si="0"/>
        <v>2.4E-2</v>
      </c>
      <c r="L21">
        <v>10</v>
      </c>
      <c r="M21" s="3">
        <f t="shared" si="1"/>
        <v>1.44</v>
      </c>
      <c r="N21" s="4">
        <f t="shared" si="2"/>
        <v>2.88</v>
      </c>
      <c r="O21" s="8" t="s">
        <v>167</v>
      </c>
      <c r="P21" s="11"/>
    </row>
    <row r="22" spans="1:16" x14ac:dyDescent="0.25">
      <c r="A22" t="s">
        <v>25</v>
      </c>
      <c r="B22">
        <v>1</v>
      </c>
      <c r="C22" t="s">
        <v>18</v>
      </c>
      <c r="E22" t="s">
        <v>19</v>
      </c>
      <c r="F22" t="s">
        <v>20</v>
      </c>
      <c r="G22" t="s">
        <v>18</v>
      </c>
      <c r="H22" s="2">
        <v>1320355</v>
      </c>
      <c r="I22" t="s">
        <v>21</v>
      </c>
      <c r="J22" s="3">
        <v>0.12</v>
      </c>
      <c r="K22" s="3">
        <f t="shared" si="0"/>
        <v>2.4E-2</v>
      </c>
      <c r="L22">
        <v>10</v>
      </c>
      <c r="M22" s="3">
        <f t="shared" si="1"/>
        <v>1.44</v>
      </c>
      <c r="N22" s="4">
        <f t="shared" si="2"/>
        <v>2.88</v>
      </c>
      <c r="O22" s="8" t="s">
        <v>167</v>
      </c>
      <c r="P22" s="11"/>
    </row>
    <row r="23" spans="1:16" x14ac:dyDescent="0.25">
      <c r="A23" t="s">
        <v>26</v>
      </c>
      <c r="B23">
        <v>1</v>
      </c>
      <c r="C23" t="s">
        <v>18</v>
      </c>
      <c r="E23" t="s">
        <v>19</v>
      </c>
      <c r="F23" t="s">
        <v>20</v>
      </c>
      <c r="G23" t="s">
        <v>18</v>
      </c>
      <c r="H23" s="2">
        <v>1320355</v>
      </c>
      <c r="I23" t="s">
        <v>21</v>
      </c>
      <c r="J23" s="3">
        <v>0.12</v>
      </c>
      <c r="K23" s="3">
        <f t="shared" si="0"/>
        <v>2.4E-2</v>
      </c>
      <c r="L23">
        <v>10</v>
      </c>
      <c r="M23" s="3">
        <f t="shared" si="1"/>
        <v>1.44</v>
      </c>
      <c r="N23" s="4">
        <f t="shared" si="2"/>
        <v>2.88</v>
      </c>
      <c r="O23" s="8" t="s">
        <v>167</v>
      </c>
      <c r="P23" s="11"/>
    </row>
    <row r="24" spans="1:16" x14ac:dyDescent="0.25">
      <c r="A24" t="s">
        <v>27</v>
      </c>
      <c r="B24">
        <v>1</v>
      </c>
      <c r="C24" t="s">
        <v>18</v>
      </c>
      <c r="E24" t="s">
        <v>19</v>
      </c>
      <c r="F24" t="s">
        <v>20</v>
      </c>
      <c r="G24" t="s">
        <v>18</v>
      </c>
      <c r="H24" s="2">
        <v>1320355</v>
      </c>
      <c r="I24" t="s">
        <v>21</v>
      </c>
      <c r="J24" s="3">
        <v>0.12</v>
      </c>
      <c r="K24" s="3">
        <f t="shared" si="0"/>
        <v>2.4E-2</v>
      </c>
      <c r="L24">
        <v>10</v>
      </c>
      <c r="M24" s="3">
        <f t="shared" si="1"/>
        <v>1.44</v>
      </c>
      <c r="N24" s="4">
        <f t="shared" si="2"/>
        <v>2.88</v>
      </c>
      <c r="O24" s="8" t="s">
        <v>167</v>
      </c>
      <c r="P24" s="11"/>
    </row>
    <row r="25" spans="1:16" x14ac:dyDescent="0.25">
      <c r="A25" t="s">
        <v>28</v>
      </c>
      <c r="B25">
        <v>1</v>
      </c>
      <c r="C25" t="s">
        <v>29</v>
      </c>
      <c r="E25" t="s">
        <v>30</v>
      </c>
      <c r="F25" t="s">
        <v>31</v>
      </c>
      <c r="G25" t="s">
        <v>29</v>
      </c>
      <c r="H25" s="2">
        <v>6962260</v>
      </c>
      <c r="I25" t="s">
        <v>32</v>
      </c>
      <c r="J25" s="3">
        <v>3.19</v>
      </c>
      <c r="K25" s="3">
        <f t="shared" si="0"/>
        <v>0.63800000000000001</v>
      </c>
      <c r="L25">
        <v>1</v>
      </c>
      <c r="M25" s="3">
        <f t="shared" si="1"/>
        <v>3.8279999999999998</v>
      </c>
      <c r="N25" s="4">
        <f t="shared" si="2"/>
        <v>76.56</v>
      </c>
      <c r="O25" s="8" t="s">
        <v>167</v>
      </c>
      <c r="P25" s="11"/>
    </row>
    <row r="26" spans="1:16" x14ac:dyDescent="0.25">
      <c r="A26" t="s">
        <v>33</v>
      </c>
      <c r="B26">
        <v>1</v>
      </c>
      <c r="C26" t="s">
        <v>34</v>
      </c>
      <c r="D26" t="s">
        <v>123</v>
      </c>
      <c r="E26" t="s">
        <v>35</v>
      </c>
      <c r="F26" t="s">
        <v>119</v>
      </c>
      <c r="G26" t="s">
        <v>122</v>
      </c>
      <c r="H26" s="2" t="s">
        <v>121</v>
      </c>
      <c r="I26" t="s">
        <v>120</v>
      </c>
      <c r="J26" s="3">
        <v>0.48</v>
      </c>
      <c r="K26" s="3">
        <f t="shared" si="0"/>
        <v>9.6000000000000002E-2</v>
      </c>
      <c r="L26">
        <v>5</v>
      </c>
      <c r="M26" s="3">
        <f t="shared" si="1"/>
        <v>2.88</v>
      </c>
      <c r="N26" s="4">
        <f t="shared" si="2"/>
        <v>11.52</v>
      </c>
      <c r="O26" s="8" t="s">
        <v>167</v>
      </c>
      <c r="P26" s="11"/>
    </row>
    <row r="27" spans="1:16" x14ac:dyDescent="0.25">
      <c r="A27" t="s">
        <v>36</v>
      </c>
      <c r="B27">
        <v>1</v>
      </c>
      <c r="C27" t="s">
        <v>34</v>
      </c>
      <c r="D27" t="s">
        <v>123</v>
      </c>
      <c r="E27" t="s">
        <v>35</v>
      </c>
      <c r="F27" t="s">
        <v>119</v>
      </c>
      <c r="G27" t="s">
        <v>122</v>
      </c>
      <c r="H27" s="2" t="s">
        <v>121</v>
      </c>
      <c r="I27" t="s">
        <v>120</v>
      </c>
      <c r="J27" s="3">
        <v>0.48</v>
      </c>
      <c r="K27" s="3">
        <f t="shared" si="0"/>
        <v>9.6000000000000002E-2</v>
      </c>
      <c r="L27">
        <v>5</v>
      </c>
      <c r="M27" s="3">
        <f t="shared" si="1"/>
        <v>2.88</v>
      </c>
      <c r="N27" s="4">
        <f t="shared" si="2"/>
        <v>11.52</v>
      </c>
      <c r="O27" s="8" t="s">
        <v>167</v>
      </c>
      <c r="P27" s="11"/>
    </row>
    <row r="28" spans="1:16" x14ac:dyDescent="0.25">
      <c r="A28" t="s">
        <v>37</v>
      </c>
      <c r="B28">
        <v>1</v>
      </c>
      <c r="C28" t="s">
        <v>34</v>
      </c>
      <c r="D28" t="s">
        <v>123</v>
      </c>
      <c r="E28" t="s">
        <v>35</v>
      </c>
      <c r="F28" t="s">
        <v>119</v>
      </c>
      <c r="G28" t="s">
        <v>122</v>
      </c>
      <c r="H28" s="2" t="s">
        <v>121</v>
      </c>
      <c r="I28" t="s">
        <v>120</v>
      </c>
      <c r="J28" s="3">
        <v>0.48</v>
      </c>
      <c r="K28" s="3">
        <f t="shared" si="0"/>
        <v>9.6000000000000002E-2</v>
      </c>
      <c r="L28">
        <v>5</v>
      </c>
      <c r="M28" s="3">
        <f t="shared" si="1"/>
        <v>2.88</v>
      </c>
      <c r="N28" s="4">
        <f t="shared" si="2"/>
        <v>11.52</v>
      </c>
      <c r="O28" s="8" t="s">
        <v>167</v>
      </c>
      <c r="P28" s="11"/>
    </row>
    <row r="29" spans="1:16" x14ac:dyDescent="0.25">
      <c r="A29" t="s">
        <v>38</v>
      </c>
      <c r="B29">
        <v>1</v>
      </c>
      <c r="C29" t="s">
        <v>34</v>
      </c>
      <c r="D29" t="s">
        <v>39</v>
      </c>
      <c r="E29" t="s">
        <v>35</v>
      </c>
      <c r="F29" t="s">
        <v>115</v>
      </c>
      <c r="G29" t="s">
        <v>117</v>
      </c>
      <c r="H29" s="2" t="s">
        <v>118</v>
      </c>
      <c r="I29" t="s">
        <v>116</v>
      </c>
      <c r="J29" s="3">
        <v>0.24</v>
      </c>
      <c r="K29" s="3">
        <f t="shared" si="0"/>
        <v>4.8000000000000001E-2</v>
      </c>
      <c r="L29">
        <v>10</v>
      </c>
      <c r="M29" s="3">
        <f t="shared" si="1"/>
        <v>2.88</v>
      </c>
      <c r="N29" s="4">
        <f t="shared" si="2"/>
        <v>5.76</v>
      </c>
      <c r="O29" s="8" t="s">
        <v>167</v>
      </c>
      <c r="P29" s="11"/>
    </row>
    <row r="30" spans="1:16" x14ac:dyDescent="0.25">
      <c r="A30" t="s">
        <v>40</v>
      </c>
      <c r="B30">
        <v>1</v>
      </c>
      <c r="C30" t="s">
        <v>34</v>
      </c>
      <c r="D30" t="s">
        <v>39</v>
      </c>
      <c r="E30" t="s">
        <v>35</v>
      </c>
      <c r="F30" t="s">
        <v>115</v>
      </c>
      <c r="G30" t="s">
        <v>117</v>
      </c>
      <c r="H30" s="2" t="s">
        <v>118</v>
      </c>
      <c r="I30" t="s">
        <v>116</v>
      </c>
      <c r="J30" s="3">
        <v>0.24</v>
      </c>
      <c r="K30" s="3">
        <f t="shared" si="0"/>
        <v>4.8000000000000001E-2</v>
      </c>
      <c r="L30">
        <v>10</v>
      </c>
      <c r="M30" s="3">
        <f t="shared" si="1"/>
        <v>2.88</v>
      </c>
      <c r="N30" s="4">
        <f t="shared" si="2"/>
        <v>5.76</v>
      </c>
      <c r="O30" s="8" t="s">
        <v>167</v>
      </c>
      <c r="P30" s="11"/>
    </row>
    <row r="31" spans="1:16" x14ac:dyDescent="0.25">
      <c r="A31" t="s">
        <v>41</v>
      </c>
      <c r="B31">
        <v>1</v>
      </c>
      <c r="C31" t="s">
        <v>42</v>
      </c>
      <c r="D31" t="s">
        <v>43</v>
      </c>
      <c r="E31" t="s">
        <v>44</v>
      </c>
      <c r="F31" t="s">
        <v>108</v>
      </c>
      <c r="G31" t="s">
        <v>112</v>
      </c>
      <c r="H31" s="2" t="s">
        <v>113</v>
      </c>
      <c r="I31" t="s">
        <v>114</v>
      </c>
      <c r="J31" s="3">
        <v>7.0000000000000007E-2</v>
      </c>
      <c r="K31" s="3">
        <f t="shared" si="0"/>
        <v>1.4000000000000002E-2</v>
      </c>
      <c r="L31">
        <v>5</v>
      </c>
      <c r="M31" s="3">
        <f t="shared" si="1"/>
        <v>0.42000000000000004</v>
      </c>
      <c r="N31" s="4">
        <f t="shared" si="2"/>
        <v>1.6800000000000002</v>
      </c>
      <c r="O31" s="8" t="s">
        <v>167</v>
      </c>
      <c r="P31" s="11"/>
    </row>
    <row r="32" spans="1:16" x14ac:dyDescent="0.25">
      <c r="A32" t="s">
        <v>45</v>
      </c>
      <c r="B32">
        <v>1</v>
      </c>
      <c r="C32" t="s">
        <v>42</v>
      </c>
      <c r="D32" t="s">
        <v>46</v>
      </c>
      <c r="E32" t="s">
        <v>44</v>
      </c>
      <c r="F32" t="s">
        <v>108</v>
      </c>
      <c r="G32" t="s">
        <v>111</v>
      </c>
      <c r="H32" s="2" t="s">
        <v>110</v>
      </c>
      <c r="I32" t="s">
        <v>109</v>
      </c>
      <c r="J32" s="3">
        <v>0.13600000000000001</v>
      </c>
      <c r="K32" s="3">
        <f t="shared" si="0"/>
        <v>2.7200000000000002E-2</v>
      </c>
      <c r="L32">
        <v>5</v>
      </c>
      <c r="M32" s="3">
        <f t="shared" si="1"/>
        <v>0.81600000000000006</v>
      </c>
      <c r="N32" s="4">
        <f t="shared" si="2"/>
        <v>3.2640000000000002</v>
      </c>
      <c r="O32" s="8" t="s">
        <v>167</v>
      </c>
      <c r="P32" s="11"/>
    </row>
    <row r="33" spans="1:16" x14ac:dyDescent="0.25">
      <c r="A33" t="s">
        <v>47</v>
      </c>
      <c r="B33">
        <v>1</v>
      </c>
      <c r="C33" t="s">
        <v>48</v>
      </c>
      <c r="D33" t="s">
        <v>49</v>
      </c>
      <c r="E33" t="s">
        <v>50</v>
      </c>
      <c r="F33" t="s">
        <v>51</v>
      </c>
      <c r="G33" t="s">
        <v>48</v>
      </c>
      <c r="H33" s="2">
        <v>135572</v>
      </c>
      <c r="I33" t="s">
        <v>52</v>
      </c>
      <c r="J33" s="3">
        <v>1.4999999999999999E-2</v>
      </c>
      <c r="K33" s="3">
        <f t="shared" si="0"/>
        <v>3.0000000000000001E-3</v>
      </c>
      <c r="L33">
        <v>10</v>
      </c>
      <c r="M33" s="3">
        <f t="shared" si="1"/>
        <v>0.18</v>
      </c>
      <c r="N33" s="4">
        <f t="shared" si="2"/>
        <v>0.36</v>
      </c>
      <c r="O33" s="8" t="s">
        <v>167</v>
      </c>
      <c r="P33" s="11"/>
    </row>
    <row r="34" spans="1:16" x14ac:dyDescent="0.25">
      <c r="A34" t="s">
        <v>53</v>
      </c>
      <c r="B34">
        <v>1</v>
      </c>
      <c r="C34" t="s">
        <v>54</v>
      </c>
      <c r="D34" t="s">
        <v>55</v>
      </c>
      <c r="E34" t="s">
        <v>50</v>
      </c>
      <c r="F34" t="s">
        <v>51</v>
      </c>
      <c r="G34" t="s">
        <v>54</v>
      </c>
      <c r="H34" s="2">
        <v>131378</v>
      </c>
      <c r="I34" t="s">
        <v>56</v>
      </c>
      <c r="J34" s="3">
        <v>1.4999999999999999E-2</v>
      </c>
      <c r="K34" s="3">
        <f t="shared" si="0"/>
        <v>3.0000000000000001E-3</v>
      </c>
      <c r="L34">
        <v>10</v>
      </c>
      <c r="M34" s="3">
        <f t="shared" si="1"/>
        <v>0.18</v>
      </c>
      <c r="N34" s="4">
        <f t="shared" si="2"/>
        <v>0.36</v>
      </c>
      <c r="O34" s="8" t="s">
        <v>167</v>
      </c>
      <c r="P34" s="11"/>
    </row>
    <row r="35" spans="1:16" x14ac:dyDescent="0.25">
      <c r="A35" t="s">
        <v>57</v>
      </c>
      <c r="B35">
        <v>1</v>
      </c>
      <c r="C35" t="s">
        <v>54</v>
      </c>
      <c r="D35" t="s">
        <v>55</v>
      </c>
      <c r="E35" t="s">
        <v>50</v>
      </c>
      <c r="F35" t="s">
        <v>51</v>
      </c>
      <c r="G35" t="s">
        <v>54</v>
      </c>
      <c r="H35" s="2">
        <v>131378</v>
      </c>
      <c r="I35" t="s">
        <v>56</v>
      </c>
      <c r="J35" s="3">
        <v>1.4999999999999999E-2</v>
      </c>
      <c r="K35" s="3">
        <f t="shared" si="0"/>
        <v>3.0000000000000001E-3</v>
      </c>
      <c r="L35">
        <v>10</v>
      </c>
      <c r="M35" s="3">
        <f t="shared" si="1"/>
        <v>0.18</v>
      </c>
      <c r="N35" s="4">
        <f t="shared" si="2"/>
        <v>0.36</v>
      </c>
      <c r="O35" s="8" t="s">
        <v>167</v>
      </c>
      <c r="P35" s="11"/>
    </row>
    <row r="36" spans="1:16" x14ac:dyDescent="0.25">
      <c r="A36" t="s">
        <v>58</v>
      </c>
      <c r="B36">
        <v>1</v>
      </c>
      <c r="C36" t="s">
        <v>54</v>
      </c>
      <c r="D36" t="s">
        <v>55</v>
      </c>
      <c r="E36" t="s">
        <v>50</v>
      </c>
      <c r="F36" t="s">
        <v>51</v>
      </c>
      <c r="G36" t="s">
        <v>54</v>
      </c>
      <c r="H36" s="2">
        <v>131378</v>
      </c>
      <c r="I36" t="s">
        <v>56</v>
      </c>
      <c r="J36" s="3">
        <v>1.4999999999999999E-2</v>
      </c>
      <c r="K36" s="3">
        <f t="shared" si="0"/>
        <v>3.0000000000000001E-3</v>
      </c>
      <c r="L36">
        <v>10</v>
      </c>
      <c r="M36" s="3">
        <f t="shared" si="1"/>
        <v>0.18</v>
      </c>
      <c r="N36" s="4">
        <f t="shared" si="2"/>
        <v>0.36</v>
      </c>
      <c r="O36" s="8" t="s">
        <v>167</v>
      </c>
      <c r="P36" s="11"/>
    </row>
    <row r="37" spans="1:16" x14ac:dyDescent="0.25">
      <c r="A37" t="s">
        <v>59</v>
      </c>
      <c r="B37">
        <v>1</v>
      </c>
      <c r="C37" t="s">
        <v>54</v>
      </c>
      <c r="D37" t="s">
        <v>55</v>
      </c>
      <c r="E37" t="s">
        <v>50</v>
      </c>
      <c r="F37" t="s">
        <v>51</v>
      </c>
      <c r="G37" t="s">
        <v>54</v>
      </c>
      <c r="H37" s="2">
        <v>131378</v>
      </c>
      <c r="I37" t="s">
        <v>56</v>
      </c>
      <c r="J37" s="3">
        <v>1.4999999999999999E-2</v>
      </c>
      <c r="K37" s="3">
        <f t="shared" si="0"/>
        <v>3.0000000000000001E-3</v>
      </c>
      <c r="L37">
        <v>10</v>
      </c>
      <c r="M37" s="3">
        <f t="shared" si="1"/>
        <v>0.18</v>
      </c>
      <c r="N37" s="4">
        <f t="shared" si="2"/>
        <v>0.36</v>
      </c>
      <c r="O37" s="8" t="s">
        <v>167</v>
      </c>
      <c r="P37" s="11"/>
    </row>
    <row r="38" spans="1:16" x14ac:dyDescent="0.25">
      <c r="A38" t="s">
        <v>60</v>
      </c>
      <c r="B38">
        <v>1</v>
      </c>
      <c r="C38" t="s">
        <v>54</v>
      </c>
      <c r="D38" t="s">
        <v>55</v>
      </c>
      <c r="E38" t="s">
        <v>50</v>
      </c>
      <c r="F38" t="s">
        <v>51</v>
      </c>
      <c r="G38" t="s">
        <v>54</v>
      </c>
      <c r="H38" s="2">
        <v>131378</v>
      </c>
      <c r="I38" t="s">
        <v>56</v>
      </c>
      <c r="J38" s="3">
        <v>1.4999999999999999E-2</v>
      </c>
      <c r="K38" s="3">
        <f t="shared" si="0"/>
        <v>3.0000000000000001E-3</v>
      </c>
      <c r="L38">
        <v>10</v>
      </c>
      <c r="M38" s="3">
        <f t="shared" si="1"/>
        <v>0.18</v>
      </c>
      <c r="N38" s="4">
        <f t="shared" si="2"/>
        <v>0.36</v>
      </c>
      <c r="O38" s="8" t="s">
        <v>167</v>
      </c>
      <c r="P38" s="11"/>
    </row>
    <row r="39" spans="1:16" x14ac:dyDescent="0.25">
      <c r="A39" t="s">
        <v>61</v>
      </c>
      <c r="B39">
        <v>1</v>
      </c>
      <c r="C39" t="s">
        <v>54</v>
      </c>
      <c r="D39" t="s">
        <v>55</v>
      </c>
      <c r="E39" t="s">
        <v>50</v>
      </c>
      <c r="F39" t="s">
        <v>51</v>
      </c>
      <c r="G39" t="s">
        <v>54</v>
      </c>
      <c r="H39" s="2">
        <v>131378</v>
      </c>
      <c r="I39" t="s">
        <v>56</v>
      </c>
      <c r="J39" s="3">
        <v>1.4999999999999999E-2</v>
      </c>
      <c r="K39" s="3">
        <f t="shared" si="0"/>
        <v>3.0000000000000001E-3</v>
      </c>
      <c r="L39">
        <v>10</v>
      </c>
      <c r="M39" s="3">
        <f t="shared" si="1"/>
        <v>0.18</v>
      </c>
      <c r="N39" s="4">
        <f t="shared" si="2"/>
        <v>0.36</v>
      </c>
      <c r="O39" s="8" t="s">
        <v>167</v>
      </c>
      <c r="P39" s="11"/>
    </row>
    <row r="40" spans="1:16" x14ac:dyDescent="0.25">
      <c r="A40" t="s">
        <v>62</v>
      </c>
      <c r="B40">
        <v>1</v>
      </c>
      <c r="C40" t="s">
        <v>54</v>
      </c>
      <c r="D40" t="s">
        <v>55</v>
      </c>
      <c r="E40" t="s">
        <v>50</v>
      </c>
      <c r="F40" t="s">
        <v>51</v>
      </c>
      <c r="G40" t="s">
        <v>54</v>
      </c>
      <c r="H40" s="2">
        <v>131378</v>
      </c>
      <c r="I40" t="s">
        <v>56</v>
      </c>
      <c r="J40" s="3">
        <v>1.4999999999999999E-2</v>
      </c>
      <c r="K40" s="3">
        <f t="shared" si="0"/>
        <v>3.0000000000000001E-3</v>
      </c>
      <c r="L40">
        <v>10</v>
      </c>
      <c r="M40" s="3">
        <f t="shared" si="1"/>
        <v>0.18</v>
      </c>
      <c r="N40" s="4">
        <f t="shared" si="2"/>
        <v>0.36</v>
      </c>
      <c r="O40" s="8" t="s">
        <v>167</v>
      </c>
      <c r="P40" s="11"/>
    </row>
    <row r="41" spans="1:16" x14ac:dyDescent="0.25">
      <c r="A41" t="s">
        <v>63</v>
      </c>
      <c r="B41">
        <v>1</v>
      </c>
      <c r="C41" t="s">
        <v>64</v>
      </c>
      <c r="D41" t="s">
        <v>65</v>
      </c>
      <c r="E41" t="s">
        <v>50</v>
      </c>
      <c r="F41" t="s">
        <v>51</v>
      </c>
      <c r="G41" t="s">
        <v>64</v>
      </c>
      <c r="H41" s="2">
        <v>131249</v>
      </c>
      <c r="I41" t="s">
        <v>66</v>
      </c>
      <c r="J41" s="3">
        <v>1.4999999999999999E-2</v>
      </c>
      <c r="K41" s="3">
        <f t="shared" si="0"/>
        <v>3.0000000000000001E-3</v>
      </c>
      <c r="L41">
        <v>10</v>
      </c>
      <c r="M41" s="3">
        <f t="shared" si="1"/>
        <v>0.18</v>
      </c>
      <c r="N41" s="4">
        <f t="shared" si="2"/>
        <v>0.36</v>
      </c>
      <c r="O41" s="8" t="s">
        <v>167</v>
      </c>
      <c r="P41" s="11"/>
    </row>
    <row r="42" spans="1:16" x14ac:dyDescent="0.25">
      <c r="A42" t="s">
        <v>67</v>
      </c>
      <c r="B42">
        <v>1</v>
      </c>
      <c r="C42" t="s">
        <v>64</v>
      </c>
      <c r="D42" t="s">
        <v>65</v>
      </c>
      <c r="E42" t="s">
        <v>50</v>
      </c>
      <c r="F42" t="s">
        <v>51</v>
      </c>
      <c r="G42" t="s">
        <v>64</v>
      </c>
      <c r="H42" s="2">
        <v>131249</v>
      </c>
      <c r="I42" t="s">
        <v>66</v>
      </c>
      <c r="J42" s="3">
        <v>1.4999999999999999E-2</v>
      </c>
      <c r="K42" s="3">
        <f t="shared" si="0"/>
        <v>3.0000000000000001E-3</v>
      </c>
      <c r="L42">
        <v>10</v>
      </c>
      <c r="M42" s="3">
        <f t="shared" si="1"/>
        <v>0.18</v>
      </c>
      <c r="N42" s="4">
        <f t="shared" si="2"/>
        <v>0.36</v>
      </c>
      <c r="O42" s="8" t="s">
        <v>167</v>
      </c>
      <c r="P42" s="11"/>
    </row>
    <row r="43" spans="1:16" x14ac:dyDescent="0.25">
      <c r="A43" t="s">
        <v>68</v>
      </c>
      <c r="B43">
        <v>1</v>
      </c>
      <c r="C43" t="s">
        <v>64</v>
      </c>
      <c r="D43" t="s">
        <v>65</v>
      </c>
      <c r="E43" t="s">
        <v>50</v>
      </c>
      <c r="F43" t="s">
        <v>51</v>
      </c>
      <c r="G43" t="s">
        <v>64</v>
      </c>
      <c r="H43" s="2">
        <v>131249</v>
      </c>
      <c r="I43" t="s">
        <v>66</v>
      </c>
      <c r="J43" s="3">
        <v>1.4999999999999999E-2</v>
      </c>
      <c r="K43" s="3">
        <f t="shared" si="0"/>
        <v>3.0000000000000001E-3</v>
      </c>
      <c r="L43">
        <v>10</v>
      </c>
      <c r="M43" s="3">
        <f t="shared" si="1"/>
        <v>0.18</v>
      </c>
      <c r="N43" s="4">
        <f t="shared" si="2"/>
        <v>0.36</v>
      </c>
      <c r="O43" s="8" t="s">
        <v>167</v>
      </c>
      <c r="P43" s="11"/>
    </row>
    <row r="44" spans="1:16" x14ac:dyDescent="0.25">
      <c r="A44" t="s">
        <v>74</v>
      </c>
      <c r="B44">
        <v>1</v>
      </c>
      <c r="C44" t="s">
        <v>75</v>
      </c>
      <c r="E44" t="s">
        <v>76</v>
      </c>
      <c r="F44" t="s">
        <v>77</v>
      </c>
      <c r="G44" t="s">
        <v>75</v>
      </c>
      <c r="H44" s="2">
        <v>6869726</v>
      </c>
      <c r="I44" t="s">
        <v>78</v>
      </c>
      <c r="J44" s="3">
        <v>1.0529999999999999</v>
      </c>
      <c r="K44" s="3">
        <f t="shared" si="0"/>
        <v>0.21060000000000001</v>
      </c>
      <c r="L44">
        <v>10</v>
      </c>
      <c r="M44" s="3">
        <f t="shared" si="1"/>
        <v>12.635999999999999</v>
      </c>
      <c r="N44" s="4">
        <f t="shared" si="2"/>
        <v>25.271999999999998</v>
      </c>
      <c r="O44" s="8" t="s">
        <v>167</v>
      </c>
      <c r="P44" s="11"/>
    </row>
    <row r="45" spans="1:16" x14ac:dyDescent="0.25">
      <c r="A45" t="s">
        <v>79</v>
      </c>
      <c r="B45">
        <v>1</v>
      </c>
      <c r="C45" t="s">
        <v>80</v>
      </c>
      <c r="D45" t="s">
        <v>81</v>
      </c>
      <c r="E45" t="s">
        <v>82</v>
      </c>
      <c r="F45" t="s">
        <v>51</v>
      </c>
      <c r="G45" t="s">
        <v>80</v>
      </c>
      <c r="H45" s="2">
        <v>150638</v>
      </c>
      <c r="I45" t="s">
        <v>83</v>
      </c>
      <c r="J45" s="3">
        <v>0.11</v>
      </c>
      <c r="K45" s="3">
        <f t="shared" si="0"/>
        <v>2.2000000000000002E-2</v>
      </c>
      <c r="L45">
        <v>10</v>
      </c>
      <c r="M45" s="3">
        <f t="shared" si="1"/>
        <v>1.32</v>
      </c>
      <c r="N45" s="4">
        <f t="shared" si="2"/>
        <v>2.64</v>
      </c>
      <c r="O45" s="8" t="s">
        <v>167</v>
      </c>
      <c r="P45" s="11"/>
    </row>
    <row r="46" spans="1:16" x14ac:dyDescent="0.25">
      <c r="A46" t="s">
        <v>84</v>
      </c>
      <c r="B46">
        <v>1</v>
      </c>
      <c r="C46" t="s">
        <v>80</v>
      </c>
      <c r="D46" t="s">
        <v>81</v>
      </c>
      <c r="E46" t="s">
        <v>82</v>
      </c>
      <c r="F46" t="s">
        <v>51</v>
      </c>
      <c r="G46" t="s">
        <v>80</v>
      </c>
      <c r="H46" s="2">
        <v>150638</v>
      </c>
      <c r="I46" t="s">
        <v>83</v>
      </c>
      <c r="J46" s="3">
        <v>0.11</v>
      </c>
      <c r="K46" s="3">
        <f t="shared" si="0"/>
        <v>2.2000000000000002E-2</v>
      </c>
      <c r="L46">
        <v>10</v>
      </c>
      <c r="M46" s="3">
        <f t="shared" si="1"/>
        <v>1.32</v>
      </c>
      <c r="N46" s="4">
        <f t="shared" si="2"/>
        <v>2.64</v>
      </c>
      <c r="O46" s="8" t="s">
        <v>167</v>
      </c>
      <c r="P46" s="11"/>
    </row>
    <row r="47" spans="1:16" x14ac:dyDescent="0.25">
      <c r="A47" t="s">
        <v>85</v>
      </c>
      <c r="B47">
        <v>1</v>
      </c>
      <c r="C47" t="s">
        <v>86</v>
      </c>
      <c r="D47" t="s">
        <v>87</v>
      </c>
      <c r="E47" t="s">
        <v>82</v>
      </c>
      <c r="F47" t="s">
        <v>51</v>
      </c>
      <c r="G47" t="s">
        <v>86</v>
      </c>
      <c r="H47" s="2">
        <v>148988</v>
      </c>
      <c r="I47" t="s">
        <v>88</v>
      </c>
      <c r="J47" s="3">
        <v>0.03</v>
      </c>
      <c r="K47" s="3">
        <f t="shared" si="0"/>
        <v>6.0000000000000001E-3</v>
      </c>
      <c r="L47">
        <v>10</v>
      </c>
      <c r="M47" s="3">
        <f t="shared" si="1"/>
        <v>0.36</v>
      </c>
      <c r="N47" s="4">
        <f t="shared" si="2"/>
        <v>0.72</v>
      </c>
      <c r="O47" s="8" t="s">
        <v>167</v>
      </c>
      <c r="P47" s="11"/>
    </row>
    <row r="48" spans="1:16" x14ac:dyDescent="0.25">
      <c r="A48" t="s">
        <v>89</v>
      </c>
      <c r="B48">
        <v>1</v>
      </c>
      <c r="C48" t="s">
        <v>86</v>
      </c>
      <c r="D48" t="s">
        <v>87</v>
      </c>
      <c r="E48" t="s">
        <v>82</v>
      </c>
      <c r="F48" t="s">
        <v>51</v>
      </c>
      <c r="G48" t="s">
        <v>86</v>
      </c>
      <c r="H48" s="2">
        <v>148988</v>
      </c>
      <c r="I48" t="s">
        <v>88</v>
      </c>
      <c r="J48" s="3">
        <v>0.03</v>
      </c>
      <c r="K48" s="3">
        <f t="shared" si="0"/>
        <v>6.0000000000000001E-3</v>
      </c>
      <c r="L48">
        <v>10</v>
      </c>
      <c r="M48" s="3">
        <f t="shared" si="1"/>
        <v>0.36</v>
      </c>
      <c r="N48" s="4">
        <f t="shared" si="2"/>
        <v>0.72</v>
      </c>
      <c r="O48" s="8" t="s">
        <v>167</v>
      </c>
      <c r="P48" s="11"/>
    </row>
    <row r="49" spans="1:16" x14ac:dyDescent="0.25">
      <c r="A49" t="s">
        <v>90</v>
      </c>
      <c r="B49">
        <v>1</v>
      </c>
      <c r="C49" t="s">
        <v>86</v>
      </c>
      <c r="D49" t="s">
        <v>87</v>
      </c>
      <c r="E49" t="s">
        <v>82</v>
      </c>
      <c r="F49" t="s">
        <v>51</v>
      </c>
      <c r="G49" t="s">
        <v>86</v>
      </c>
      <c r="H49" s="2">
        <v>148988</v>
      </c>
      <c r="I49" t="s">
        <v>88</v>
      </c>
      <c r="J49" s="3">
        <v>0.03</v>
      </c>
      <c r="K49" s="3">
        <f t="shared" si="0"/>
        <v>6.0000000000000001E-3</v>
      </c>
      <c r="L49">
        <v>10</v>
      </c>
      <c r="M49" s="3">
        <f t="shared" si="1"/>
        <v>0.36</v>
      </c>
      <c r="N49" s="4">
        <f t="shared" si="2"/>
        <v>0.72</v>
      </c>
      <c r="O49" s="8" t="s">
        <v>167</v>
      </c>
      <c r="P49" s="11"/>
    </row>
    <row r="50" spans="1:16" x14ac:dyDescent="0.25">
      <c r="A50" t="s">
        <v>91</v>
      </c>
      <c r="B50">
        <v>1</v>
      </c>
      <c r="C50" t="s">
        <v>92</v>
      </c>
      <c r="E50" t="s">
        <v>93</v>
      </c>
      <c r="F50" t="s">
        <v>99</v>
      </c>
      <c r="G50" t="s">
        <v>100</v>
      </c>
      <c r="H50" s="7" t="s">
        <v>98</v>
      </c>
      <c r="I50" t="s">
        <v>101</v>
      </c>
      <c r="J50" s="3">
        <v>0.79</v>
      </c>
      <c r="K50" s="3">
        <f t="shared" si="0"/>
        <v>0.15800000000000003</v>
      </c>
      <c r="L50">
        <v>10</v>
      </c>
      <c r="M50" s="3">
        <f t="shared" si="1"/>
        <v>9.48</v>
      </c>
      <c r="N50" s="4">
        <f t="shared" si="2"/>
        <v>18.96</v>
      </c>
      <c r="O50" s="8" t="s">
        <v>167</v>
      </c>
      <c r="P50" s="11"/>
    </row>
    <row r="51" spans="1:16" x14ac:dyDescent="0.25">
      <c r="A51" t="s">
        <v>94</v>
      </c>
      <c r="B51">
        <v>1</v>
      </c>
      <c r="C51" t="s">
        <v>92</v>
      </c>
      <c r="E51" t="s">
        <v>93</v>
      </c>
      <c r="F51" t="s">
        <v>99</v>
      </c>
      <c r="G51" t="s">
        <v>100</v>
      </c>
      <c r="H51" s="7" t="s">
        <v>98</v>
      </c>
      <c r="I51" t="s">
        <v>101</v>
      </c>
      <c r="J51" s="3">
        <v>0.79</v>
      </c>
      <c r="K51" s="3">
        <f t="shared" si="0"/>
        <v>0.15800000000000003</v>
      </c>
      <c r="L51">
        <v>10</v>
      </c>
      <c r="M51" s="3">
        <f t="shared" si="1"/>
        <v>9.48</v>
      </c>
      <c r="N51" s="4">
        <f t="shared" si="2"/>
        <v>18.96</v>
      </c>
      <c r="O51" s="8" t="s">
        <v>167</v>
      </c>
      <c r="P51" s="11"/>
    </row>
    <row r="52" spans="1:16" x14ac:dyDescent="0.25">
      <c r="A52" t="s">
        <v>95</v>
      </c>
      <c r="B52">
        <v>1</v>
      </c>
      <c r="C52" t="s">
        <v>92</v>
      </c>
      <c r="E52" t="s">
        <v>93</v>
      </c>
      <c r="F52" t="s">
        <v>99</v>
      </c>
      <c r="G52" t="s">
        <v>100</v>
      </c>
      <c r="H52" s="7" t="s">
        <v>98</v>
      </c>
      <c r="I52" t="s">
        <v>101</v>
      </c>
      <c r="J52" s="3">
        <v>0.79</v>
      </c>
      <c r="K52" s="3">
        <f t="shared" si="0"/>
        <v>0.15800000000000003</v>
      </c>
      <c r="L52">
        <v>10</v>
      </c>
      <c r="M52" s="3">
        <f t="shared" si="1"/>
        <v>9.48</v>
      </c>
      <c r="N52" s="4">
        <f t="shared" si="2"/>
        <v>18.96</v>
      </c>
      <c r="O52" s="8" t="s">
        <v>167</v>
      </c>
      <c r="P52" s="11"/>
    </row>
    <row r="53" spans="1:16" x14ac:dyDescent="0.25">
      <c r="A53" t="s">
        <v>96</v>
      </c>
      <c r="B53">
        <v>1</v>
      </c>
      <c r="C53" t="s">
        <v>97</v>
      </c>
      <c r="D53">
        <v>16</v>
      </c>
      <c r="E53" t="s">
        <v>35</v>
      </c>
      <c r="F53" t="s">
        <v>104</v>
      </c>
      <c r="G53" t="s">
        <v>103</v>
      </c>
      <c r="H53" s="2" t="s">
        <v>105</v>
      </c>
      <c r="I53" t="s">
        <v>102</v>
      </c>
      <c r="J53" s="3">
        <v>0.21299999999999999</v>
      </c>
      <c r="K53" s="3">
        <f t="shared" si="0"/>
        <v>4.2599999999999999E-2</v>
      </c>
      <c r="L53">
        <v>10</v>
      </c>
      <c r="M53" s="3">
        <f t="shared" si="1"/>
        <v>2.556</v>
      </c>
      <c r="N53" s="4">
        <f t="shared" si="2"/>
        <v>5.1120000000000001</v>
      </c>
      <c r="O53" s="8" t="s">
        <v>167</v>
      </c>
      <c r="P53" s="11"/>
    </row>
    <row r="54" spans="1:16" x14ac:dyDescent="0.25">
      <c r="A54" t="s">
        <v>146</v>
      </c>
      <c r="J54" s="3">
        <v>5</v>
      </c>
      <c r="K54" s="3">
        <v>0</v>
      </c>
      <c r="L54">
        <v>1</v>
      </c>
      <c r="M54" s="3">
        <f>SUM(L54*J54)</f>
        <v>5</v>
      </c>
      <c r="N54" s="3">
        <f>SUM(M54)</f>
        <v>5</v>
      </c>
      <c r="O54" s="8" t="s">
        <v>167</v>
      </c>
      <c r="P54" s="11"/>
    </row>
    <row r="55" spans="1:16" x14ac:dyDescent="0.25">
      <c r="J55" s="3"/>
      <c r="K55" s="3"/>
      <c r="M55" s="3"/>
      <c r="N55" s="4"/>
    </row>
    <row r="56" spans="1:16" x14ac:dyDescent="0.25">
      <c r="A56" t="s">
        <v>169</v>
      </c>
      <c r="B56">
        <v>1</v>
      </c>
      <c r="C56" t="s">
        <v>174</v>
      </c>
      <c r="F56" t="s">
        <v>171</v>
      </c>
      <c r="H56" t="s">
        <v>170</v>
      </c>
      <c r="I56" t="s">
        <v>176</v>
      </c>
      <c r="J56" s="3">
        <v>273</v>
      </c>
      <c r="K56" s="3">
        <f t="shared" ref="K56" si="3">SUM(J56*0.2)</f>
        <v>54.6</v>
      </c>
      <c r="L56">
        <v>1</v>
      </c>
      <c r="M56" s="3">
        <f t="shared" ref="M56:M57" si="4">SUM(L56*(J56+K56))</f>
        <v>327.60000000000002</v>
      </c>
      <c r="N56" s="4">
        <f>M56</f>
        <v>327.60000000000002</v>
      </c>
      <c r="O56" s="8" t="s">
        <v>167</v>
      </c>
      <c r="P56" s="11">
        <v>368.88</v>
      </c>
    </row>
    <row r="57" spans="1:16" x14ac:dyDescent="0.25">
      <c r="A57" t="s">
        <v>169</v>
      </c>
      <c r="B57">
        <v>1</v>
      </c>
      <c r="C57" t="s">
        <v>173</v>
      </c>
      <c r="H57" s="2" t="s">
        <v>175</v>
      </c>
      <c r="I57" t="s">
        <v>172</v>
      </c>
      <c r="J57" s="3">
        <v>0.114</v>
      </c>
      <c r="K57" s="3">
        <f t="shared" ref="K57" si="5">SUM(J57*0.2)</f>
        <v>2.2800000000000001E-2</v>
      </c>
      <c r="L57">
        <v>50</v>
      </c>
      <c r="M57" s="3">
        <f t="shared" si="4"/>
        <v>6.84</v>
      </c>
      <c r="N57" s="4">
        <f>SUM(J57+K57)*140</f>
        <v>19.152000000000001</v>
      </c>
      <c r="O57" s="8" t="s">
        <v>167</v>
      </c>
      <c r="P57" s="11"/>
    </row>
    <row r="58" spans="1:16" x14ac:dyDescent="0.25">
      <c r="J58" s="3"/>
      <c r="K58" s="3"/>
      <c r="M58" s="3"/>
      <c r="N58" s="4"/>
    </row>
    <row r="59" spans="1:16" x14ac:dyDescent="0.25">
      <c r="A59" s="12" t="s">
        <v>150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6" x14ac:dyDescent="0.25">
      <c r="A60" t="s">
        <v>69</v>
      </c>
      <c r="B60">
        <v>1</v>
      </c>
      <c r="C60" t="s">
        <v>70</v>
      </c>
      <c r="E60" t="s">
        <v>71</v>
      </c>
      <c r="F60" t="s">
        <v>13</v>
      </c>
      <c r="G60" t="s">
        <v>106</v>
      </c>
      <c r="H60" s="2">
        <v>1495371</v>
      </c>
      <c r="I60" t="s">
        <v>107</v>
      </c>
      <c r="J60" s="3">
        <v>0.48</v>
      </c>
      <c r="K60" s="3">
        <f t="shared" ref="K60:K62" si="6">SUM(J60*0.2)</f>
        <v>9.6000000000000002E-2</v>
      </c>
      <c r="L60">
        <v>5</v>
      </c>
      <c r="M60" s="3">
        <f>SUM(L60*(J60+K60))</f>
        <v>2.88</v>
      </c>
      <c r="N60" s="4">
        <f>SUM(J60+K60)*20</f>
        <v>11.52</v>
      </c>
      <c r="O60" s="8" t="s">
        <v>167</v>
      </c>
      <c r="P60" s="11">
        <v>48.96</v>
      </c>
    </row>
    <row r="61" spans="1:16" x14ac:dyDescent="0.25">
      <c r="A61" t="s">
        <v>72</v>
      </c>
      <c r="B61">
        <v>1</v>
      </c>
      <c r="C61" t="s">
        <v>70</v>
      </c>
      <c r="E61" t="s">
        <v>71</v>
      </c>
      <c r="F61" t="s">
        <v>13</v>
      </c>
      <c r="G61" t="s">
        <v>106</v>
      </c>
      <c r="H61" s="2">
        <v>1495371</v>
      </c>
      <c r="I61" t="s">
        <v>107</v>
      </c>
      <c r="J61" s="3">
        <v>0.48</v>
      </c>
      <c r="K61" s="3">
        <f t="shared" si="6"/>
        <v>9.6000000000000002E-2</v>
      </c>
      <c r="L61">
        <v>5</v>
      </c>
      <c r="M61" s="3">
        <f>SUM(L61*(J61+K61))</f>
        <v>2.88</v>
      </c>
      <c r="N61" s="4">
        <f>SUM(J61+K61)*20</f>
        <v>11.52</v>
      </c>
      <c r="O61" s="8" t="s">
        <v>167</v>
      </c>
      <c r="P61" s="11"/>
    </row>
    <row r="62" spans="1:16" x14ac:dyDescent="0.25">
      <c r="A62" t="s">
        <v>73</v>
      </c>
      <c r="B62">
        <v>1</v>
      </c>
      <c r="C62" t="s">
        <v>70</v>
      </c>
      <c r="E62" t="s">
        <v>71</v>
      </c>
      <c r="F62" t="s">
        <v>13</v>
      </c>
      <c r="G62" t="s">
        <v>106</v>
      </c>
      <c r="H62" s="2">
        <v>1495371</v>
      </c>
      <c r="I62" t="s">
        <v>107</v>
      </c>
      <c r="J62" s="3">
        <v>0.48</v>
      </c>
      <c r="K62" s="3">
        <f t="shared" si="6"/>
        <v>9.6000000000000002E-2</v>
      </c>
      <c r="L62">
        <v>5</v>
      </c>
      <c r="M62" s="3">
        <f>SUM(L62*(J62+K62))</f>
        <v>2.88</v>
      </c>
      <c r="N62" s="4">
        <f>SUM(J62+K62)*20</f>
        <v>11.52</v>
      </c>
      <c r="O62" s="8" t="s">
        <v>167</v>
      </c>
      <c r="P62" s="11"/>
    </row>
    <row r="63" spans="1:16" x14ac:dyDescent="0.25">
      <c r="A63" t="s">
        <v>147</v>
      </c>
      <c r="B63">
        <v>1</v>
      </c>
      <c r="J63" s="3">
        <v>0</v>
      </c>
      <c r="K63" s="3">
        <v>0</v>
      </c>
      <c r="L63">
        <v>1</v>
      </c>
      <c r="M63" s="3">
        <f>SUM(L63*J63)</f>
        <v>0</v>
      </c>
      <c r="N63" s="3">
        <f>SUM(M63)</f>
        <v>0</v>
      </c>
    </row>
    <row r="64" spans="1:16" x14ac:dyDescent="0.25">
      <c r="A64" s="12" t="s">
        <v>153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1:16" x14ac:dyDescent="0.25">
      <c r="A65" t="s">
        <v>135</v>
      </c>
      <c r="B65">
        <v>1</v>
      </c>
      <c r="C65" t="s">
        <v>136</v>
      </c>
      <c r="D65" t="s">
        <v>136</v>
      </c>
      <c r="E65" t="s">
        <v>136</v>
      </c>
      <c r="F65" t="s">
        <v>137</v>
      </c>
      <c r="G65" s="1" t="s">
        <v>138</v>
      </c>
      <c r="I65" t="s">
        <v>139</v>
      </c>
      <c r="J65" s="3">
        <v>6</v>
      </c>
      <c r="K65" s="3">
        <v>0</v>
      </c>
      <c r="L65">
        <v>24</v>
      </c>
      <c r="M65" s="3">
        <f>SUM(L65*(J65+K65))</f>
        <v>144</v>
      </c>
      <c r="N65" s="4">
        <f>SUM(J65+K65)*20</f>
        <v>120</v>
      </c>
      <c r="O65" s="8" t="s">
        <v>167</v>
      </c>
      <c r="P65" s="11">
        <v>140.80000000000001</v>
      </c>
    </row>
    <row r="66" spans="1:16" x14ac:dyDescent="0.25">
      <c r="A66" t="s">
        <v>148</v>
      </c>
      <c r="B66">
        <v>1</v>
      </c>
      <c r="J66" s="3">
        <v>5</v>
      </c>
      <c r="K66" s="3">
        <v>0</v>
      </c>
      <c r="L66">
        <v>1</v>
      </c>
      <c r="M66" s="3">
        <f>SUM(L66*J66)</f>
        <v>5</v>
      </c>
      <c r="N66" s="3">
        <f>SUM(M66)</f>
        <v>5</v>
      </c>
      <c r="O66" s="8" t="s">
        <v>167</v>
      </c>
      <c r="P66" s="11"/>
    </row>
    <row r="68" spans="1:16" x14ac:dyDescent="0.25">
      <c r="A68" s="12" t="s">
        <v>154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6" x14ac:dyDescent="0.25">
      <c r="A69" t="s">
        <v>159</v>
      </c>
      <c r="B69">
        <v>1</v>
      </c>
      <c r="C69" t="s">
        <v>155</v>
      </c>
      <c r="I69" t="s">
        <v>156</v>
      </c>
      <c r="J69" s="3">
        <v>3.85</v>
      </c>
      <c r="K69" s="3">
        <v>0</v>
      </c>
      <c r="L69">
        <v>1</v>
      </c>
      <c r="M69" s="3">
        <f>SUM(L69*(J69+K69))</f>
        <v>3.85</v>
      </c>
      <c r="N69" s="4">
        <f>SUM(J69+K69)*20</f>
        <v>77</v>
      </c>
    </row>
    <row r="70" spans="1:16" x14ac:dyDescent="0.25">
      <c r="I70" t="s">
        <v>160</v>
      </c>
      <c r="J70" s="3"/>
      <c r="K70" s="3"/>
      <c r="M70" s="3"/>
      <c r="N70" s="4">
        <v>6.3</v>
      </c>
    </row>
    <row r="71" spans="1:16" x14ac:dyDescent="0.25">
      <c r="A71" t="s">
        <v>157</v>
      </c>
      <c r="B71">
        <v>1</v>
      </c>
      <c r="I71" t="s">
        <v>158</v>
      </c>
      <c r="J71" s="3">
        <v>5.26</v>
      </c>
      <c r="K71" s="3">
        <v>0</v>
      </c>
      <c r="L71">
        <v>1</v>
      </c>
      <c r="M71" s="3">
        <f>SUM(L71*(J71+K71))</f>
        <v>5.26</v>
      </c>
      <c r="N71" s="4">
        <f>SUM(J71+K71)*20</f>
        <v>105.19999999999999</v>
      </c>
    </row>
    <row r="73" spans="1:16" x14ac:dyDescent="0.25">
      <c r="A73" s="12" t="s">
        <v>161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spans="1:16" x14ac:dyDescent="0.25">
      <c r="A74" t="s">
        <v>163</v>
      </c>
      <c r="J74" s="3">
        <v>14.5</v>
      </c>
      <c r="K74" s="3">
        <v>0</v>
      </c>
      <c r="L74">
        <v>1</v>
      </c>
      <c r="M74" s="3">
        <f t="shared" ref="M74:M76" si="7">SUM(L74*(J74+K74))</f>
        <v>14.5</v>
      </c>
      <c r="N74" s="4">
        <f>SUM(M74*10)</f>
        <v>145</v>
      </c>
    </row>
    <row r="75" spans="1:16" x14ac:dyDescent="0.25">
      <c r="A75" t="s">
        <v>162</v>
      </c>
      <c r="J75" s="3">
        <v>14.5</v>
      </c>
      <c r="K75" s="3">
        <v>0</v>
      </c>
      <c r="L75">
        <v>1</v>
      </c>
      <c r="M75" s="3">
        <f t="shared" si="7"/>
        <v>14.5</v>
      </c>
      <c r="N75" s="4">
        <f>SUM(M75*10)</f>
        <v>145</v>
      </c>
    </row>
    <row r="76" spans="1:16" x14ac:dyDescent="0.25">
      <c r="A76" t="s">
        <v>164</v>
      </c>
      <c r="J76" s="3">
        <v>14.5</v>
      </c>
      <c r="K76" s="3">
        <v>0</v>
      </c>
      <c r="L76">
        <v>1</v>
      </c>
      <c r="M76" s="3">
        <f t="shared" si="7"/>
        <v>14.5</v>
      </c>
      <c r="N76" s="4">
        <f>SUM(M76*10)</f>
        <v>145</v>
      </c>
    </row>
  </sheetData>
  <mergeCells count="9">
    <mergeCell ref="A7:N7"/>
    <mergeCell ref="A68:N68"/>
    <mergeCell ref="A73:N73"/>
    <mergeCell ref="P56:P57"/>
    <mergeCell ref="P8:P54"/>
    <mergeCell ref="P60:P62"/>
    <mergeCell ref="P65:P66"/>
    <mergeCell ref="A64:N64"/>
    <mergeCell ref="A59:N59"/>
  </mergeCells>
  <hyperlinks>
    <hyperlink ref="G65" r:id="rId1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Halo Schematic (Bill Of Materia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jabbott</dc:creator>
  <cp:lastModifiedBy>Jay Abbott</cp:lastModifiedBy>
  <dcterms:created xsi:type="dcterms:W3CDTF">2013-07-01T21:10:07Z</dcterms:created>
  <dcterms:modified xsi:type="dcterms:W3CDTF">2013-08-14T07:17:02Z</dcterms:modified>
</cp:coreProperties>
</file>